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Find" sheetId="1" r:id="rId1"/>
    <sheet name="DaTA" sheetId="2" r:id="rId2"/>
    <sheet name="Sheet3" sheetId="3" r:id="rId3"/>
  </sheets>
  <definedNames>
    <definedName name="_xlnm._FilterDatabase" localSheetId="0" hidden="1">Find!$A$1:$G$4</definedName>
  </definedNames>
  <calcPr calcId="125725"/>
</workbook>
</file>

<file path=xl/calcChain.xml><?xml version="1.0" encoding="utf-8"?>
<calcChain xmlns="http://schemas.openxmlformats.org/spreadsheetml/2006/main">
  <c r="J5" i="1"/>
  <c r="K5"/>
  <c r="L5"/>
  <c r="M5"/>
  <c r="N5"/>
  <c r="I5"/>
  <c r="H5"/>
  <c r="G5"/>
  <c r="B5"/>
  <c r="B29"/>
  <c r="B21"/>
  <c r="B13"/>
</calcChain>
</file>

<file path=xl/sharedStrings.xml><?xml version="1.0" encoding="utf-8"?>
<sst xmlns="http://schemas.openxmlformats.org/spreadsheetml/2006/main" count="153" uniqueCount="74">
  <si>
    <t>Emp ID</t>
  </si>
  <si>
    <t>Name</t>
  </si>
  <si>
    <t>Department</t>
  </si>
  <si>
    <t>Position</t>
  </si>
  <si>
    <t>Salary (SAR)</t>
  </si>
  <si>
    <t>Branch City</t>
  </si>
  <si>
    <t>Iqama No</t>
  </si>
  <si>
    <t>Joining Year</t>
  </si>
  <si>
    <t>Status</t>
  </si>
  <si>
    <t>Cleaning</t>
  </si>
  <si>
    <t>Cleaner</t>
  </si>
  <si>
    <t>Riyadh</t>
  </si>
  <si>
    <t>IQA112233</t>
  </si>
  <si>
    <t>Active</t>
  </si>
  <si>
    <t>Rafiq Islam</t>
  </si>
  <si>
    <t>Jeddah</t>
  </si>
  <si>
    <t>IQA223344</t>
  </si>
  <si>
    <t>Jamal Hossain</t>
  </si>
  <si>
    <t>Security</t>
  </si>
  <si>
    <t>Security Guard</t>
  </si>
  <si>
    <t>IQA334455</t>
  </si>
  <si>
    <t>Selim Ahmed</t>
  </si>
  <si>
    <t>Maintenance</t>
  </si>
  <si>
    <t>Electric Helper</t>
  </si>
  <si>
    <t>Dammam</t>
  </si>
  <si>
    <t>IQA445566</t>
  </si>
  <si>
    <t>Faruk Khan</t>
  </si>
  <si>
    <t>IQA556677</t>
  </si>
  <si>
    <t>Naim Sheikh</t>
  </si>
  <si>
    <t>Plumber Helper</t>
  </si>
  <si>
    <t>IQA667788</t>
  </si>
  <si>
    <t>Arif Ali</t>
  </si>
  <si>
    <t>IQA778899</t>
  </si>
  <si>
    <t>Masud Rana</t>
  </si>
  <si>
    <t>IQA889900</t>
  </si>
  <si>
    <t>Tarek Mahmud</t>
  </si>
  <si>
    <t>Logistics</t>
  </si>
  <si>
    <t>Store Assistant</t>
  </si>
  <si>
    <t>IQA990011</t>
  </si>
  <si>
    <t>Biplob Hasan</t>
  </si>
  <si>
    <t>IQA101112</t>
  </si>
  <si>
    <t>Imtiaz Ahmed</t>
  </si>
  <si>
    <t>AC Helper</t>
  </si>
  <si>
    <t>IQA121314</t>
  </si>
  <si>
    <t>Sohag Mia</t>
  </si>
  <si>
    <t>IQA141516</t>
  </si>
  <si>
    <t>Monir Hossain</t>
  </si>
  <si>
    <t>IQA161718</t>
  </si>
  <si>
    <t>Liton Das</t>
  </si>
  <si>
    <t>IQA181920</t>
  </si>
  <si>
    <t>Hasan Ali</t>
  </si>
  <si>
    <t>Delivery Helper</t>
  </si>
  <si>
    <t>IQA202122</t>
  </si>
  <si>
    <t>Shamim Reza</t>
  </si>
  <si>
    <t>Carpenter Helper</t>
  </si>
  <si>
    <t>IQA222324</t>
  </si>
  <si>
    <t>Jasim Uddin</t>
  </si>
  <si>
    <t>IQA242526</t>
  </si>
  <si>
    <t>Kawsar Ahmed</t>
  </si>
  <si>
    <t>IQA262728</t>
  </si>
  <si>
    <t>Rubel Hossain</t>
  </si>
  <si>
    <t>IQA282930</t>
  </si>
  <si>
    <t>Delwar Khan</t>
  </si>
  <si>
    <t>Warehouse Helper</t>
  </si>
  <si>
    <t>IQA303132</t>
  </si>
  <si>
    <t>Rasal Hossain</t>
  </si>
  <si>
    <t>IT</t>
  </si>
  <si>
    <t>Practice 1 – Find Salary Using Emp ID</t>
  </si>
  <si>
    <t>Emp Name</t>
  </si>
  <si>
    <t>Find Position Using Emp ID</t>
  </si>
  <si>
    <t>Find Branch City Using Emp Name</t>
  </si>
  <si>
    <t>Find All Info Using Emp ID</t>
  </si>
  <si>
    <t>Software developers</t>
  </si>
  <si>
    <t>Practice 2 – Find Salary Using Emp Name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</si>
</sst>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1"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alignment horizontal="left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I21" totalsRowShown="0" headerRowDxfId="10" dataDxfId="9">
  <autoFilter ref="A1:I21"/>
  <tableColumns count="9">
    <tableColumn id="1" name="Emp ID" dataDxfId="8"/>
    <tableColumn id="2" name="Name" dataDxfId="7"/>
    <tableColumn id="3" name="Department" dataDxfId="6"/>
    <tableColumn id="4" name="Position" dataDxfId="5"/>
    <tableColumn id="5" name="Salary (SAR)" dataDxfId="4"/>
    <tableColumn id="6" name="Branch City" dataDxfId="3"/>
    <tableColumn id="7" name="Iqama No" dataDxfId="2"/>
    <tableColumn id="8" name="Joining Year" dataDxfId="1"/>
    <tableColumn id="9" name="Statu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tabSelected="1" workbookViewId="0">
      <selection activeCell="H15" sqref="H15"/>
    </sheetView>
  </sheetViews>
  <sheetFormatPr defaultRowHeight="15"/>
  <cols>
    <col min="1" max="1" width="17.140625" customWidth="1"/>
    <col min="2" max="2" width="14" customWidth="1"/>
    <col min="7" max="7" width="15.7109375" customWidth="1"/>
    <col min="8" max="8" width="12.5703125" customWidth="1"/>
    <col min="9" max="9" width="21.140625" customWidth="1"/>
    <col min="10" max="10" width="10.140625" customWidth="1"/>
    <col min="11" max="11" width="12.85546875" customWidth="1"/>
    <col min="12" max="12" width="11" customWidth="1"/>
    <col min="13" max="13" width="12.85546875" customWidth="1"/>
  </cols>
  <sheetData>
    <row r="1" spans="1:14">
      <c r="A1" s="7" t="s">
        <v>67</v>
      </c>
      <c r="B1" s="7"/>
      <c r="C1" s="7"/>
      <c r="D1" s="7"/>
      <c r="E1" s="5"/>
      <c r="F1" s="9" t="s">
        <v>71</v>
      </c>
      <c r="G1" s="9"/>
      <c r="H1" s="9"/>
      <c r="I1" s="9"/>
      <c r="J1" s="9"/>
      <c r="K1" s="9"/>
      <c r="L1" s="9"/>
      <c r="M1" s="9"/>
      <c r="N1" s="9"/>
    </row>
    <row r="2" spans="1:14">
      <c r="A2" s="7"/>
      <c r="B2" s="7"/>
      <c r="C2" s="7"/>
      <c r="D2" s="7"/>
      <c r="E2" s="5"/>
      <c r="F2" s="9"/>
      <c r="G2" s="9"/>
      <c r="H2" s="9"/>
      <c r="I2" s="9"/>
      <c r="J2" s="9"/>
      <c r="K2" s="9"/>
      <c r="L2" s="9"/>
      <c r="M2" s="9"/>
      <c r="N2" s="9"/>
    </row>
    <row r="3" spans="1:14">
      <c r="A3" s="7"/>
      <c r="B3" s="7"/>
      <c r="C3" s="7"/>
      <c r="D3" s="7"/>
      <c r="E3" s="5"/>
      <c r="F3" s="9"/>
      <c r="G3" s="9"/>
      <c r="H3" s="9"/>
      <c r="I3" s="9"/>
      <c r="J3" s="9"/>
      <c r="K3" s="9"/>
      <c r="L3" s="9"/>
      <c r="M3" s="9"/>
      <c r="N3" s="9"/>
    </row>
    <row r="4" spans="1:14" ht="30.75" thickBot="1">
      <c r="A4" s="3" t="s">
        <v>0</v>
      </c>
      <c r="B4" s="4" t="s">
        <v>4</v>
      </c>
      <c r="F4" s="3" t="s">
        <v>0</v>
      </c>
      <c r="G4" s="3" t="s">
        <v>1</v>
      </c>
      <c r="H4" s="3" t="s">
        <v>2</v>
      </c>
      <c r="I4" s="3" t="s">
        <v>3</v>
      </c>
      <c r="J4" s="3" t="s">
        <v>4</v>
      </c>
      <c r="K4" s="3" t="s">
        <v>5</v>
      </c>
      <c r="L4" s="3" t="s">
        <v>6</v>
      </c>
      <c r="M4" s="3" t="s">
        <v>7</v>
      </c>
      <c r="N4" s="6" t="s">
        <v>8</v>
      </c>
    </row>
    <row r="5" spans="1:14" ht="15.75" thickTop="1">
      <c r="A5" s="10">
        <v>3001</v>
      </c>
      <c r="B5" s="11">
        <f>VLOOKUP(A5,Table1[], 5, FALSE)</f>
        <v>2600</v>
      </c>
      <c r="F5" s="10">
        <v>3010</v>
      </c>
      <c r="G5" s="12" t="str">
        <f>VLOOKUP($F$5,Table1[],MATCH(G4,$F$4:$N$4,),)</f>
        <v>Biplob Hasan</v>
      </c>
      <c r="H5" s="12" t="str">
        <f>VLOOKUP($F$5,Table1[],MATCH(H4,$F$4:$N$4,),)</f>
        <v>Cleaning</v>
      </c>
      <c r="I5" s="12" t="str">
        <f>VLOOKUP($F$5,Table1[],MATCH(I4,$F$4:$N$4,),)</f>
        <v>Cleaner</v>
      </c>
      <c r="J5" s="12">
        <f>VLOOKUP($F$5,Table1[],MATCH(J4,$F$4:$N$4,),)</f>
        <v>2400</v>
      </c>
      <c r="K5" s="12" t="str">
        <f>VLOOKUP($F$5,Table1[],MATCH(K4,$F$4:$N$4,),)</f>
        <v>Jeddah</v>
      </c>
      <c r="L5" s="12" t="str">
        <f>VLOOKUP($F$5,Table1[],MATCH(L4,$F$4:$N$4,),)</f>
        <v>IQA101112</v>
      </c>
      <c r="M5" s="12">
        <f>VLOOKUP($F$5,Table1[],MATCH(M4,$F$4:$N$4,),)</f>
        <v>2022</v>
      </c>
      <c r="N5" s="12" t="str">
        <f>VLOOKUP($F$5,Table1[],MATCH(N4,$F$4:$N$4,),)</f>
        <v>Active</v>
      </c>
    </row>
    <row r="7" spans="1:14">
      <c r="F7" s="5"/>
      <c r="G7" s="5"/>
    </row>
    <row r="9" spans="1:14">
      <c r="A9" s="8" t="s">
        <v>73</v>
      </c>
      <c r="B9" s="8"/>
      <c r="C9" s="8"/>
      <c r="D9" s="8"/>
    </row>
    <row r="10" spans="1:14">
      <c r="A10" s="8"/>
      <c r="B10" s="8"/>
      <c r="C10" s="8"/>
      <c r="D10" s="8"/>
    </row>
    <row r="11" spans="1:14">
      <c r="A11" s="8"/>
      <c r="B11" s="8"/>
      <c r="C11" s="8"/>
      <c r="D11" s="8"/>
    </row>
    <row r="12" spans="1:14" ht="15.75" thickBot="1">
      <c r="A12" s="3" t="s">
        <v>1</v>
      </c>
      <c r="B12" s="4" t="s">
        <v>4</v>
      </c>
    </row>
    <row r="13" spans="1:14" ht="15.75" thickTop="1">
      <c r="A13" t="s">
        <v>65</v>
      </c>
      <c r="B13" s="11">
        <f>VLOOKUP(A13,Table1[[Name]:[Status]],4,)</f>
        <v>2600</v>
      </c>
    </row>
    <row r="17" spans="1:4">
      <c r="A17" s="8" t="s">
        <v>69</v>
      </c>
      <c r="B17" s="8"/>
      <c r="C17" s="8"/>
      <c r="D17" s="8"/>
    </row>
    <row r="18" spans="1:4">
      <c r="A18" s="8"/>
      <c r="B18" s="8"/>
      <c r="C18" s="8"/>
      <c r="D18" s="8"/>
    </row>
    <row r="19" spans="1:4">
      <c r="A19" s="8"/>
      <c r="B19" s="8"/>
      <c r="C19" s="8"/>
      <c r="D19" s="8"/>
    </row>
    <row r="20" spans="1:4" ht="15.75" thickBot="1">
      <c r="A20" s="3" t="s">
        <v>68</v>
      </c>
      <c r="B20" s="4" t="s">
        <v>3</v>
      </c>
    </row>
    <row r="21" spans="1:4" ht="15.75" thickTop="1">
      <c r="A21" s="10">
        <v>3001</v>
      </c>
      <c r="B21" s="11" t="str">
        <f>VLOOKUP(A21,Table1[],3,)</f>
        <v>IT</v>
      </c>
    </row>
    <row r="25" spans="1:4">
      <c r="A25" s="8" t="s">
        <v>70</v>
      </c>
      <c r="B25" s="8"/>
      <c r="C25" s="8"/>
      <c r="D25" s="8"/>
    </row>
    <row r="26" spans="1:4">
      <c r="A26" s="8"/>
      <c r="B26" s="8"/>
      <c r="C26" s="8"/>
      <c r="D26" s="8"/>
    </row>
    <row r="27" spans="1:4">
      <c r="A27" s="8"/>
      <c r="B27" s="8"/>
      <c r="C27" s="8"/>
      <c r="D27" s="8"/>
    </row>
    <row r="28" spans="1:4" ht="15.75" thickBot="1">
      <c r="A28" s="3" t="s">
        <v>1</v>
      </c>
      <c r="B28" s="4" t="s">
        <v>5</v>
      </c>
    </row>
    <row r="29" spans="1:4" ht="15.75" thickTop="1">
      <c r="A29" t="s">
        <v>46</v>
      </c>
      <c r="B29" t="str">
        <f>VLOOKUP(A29,Table1[[Name]:[Status]],5,)</f>
        <v>Riyadh</v>
      </c>
    </row>
  </sheetData>
  <mergeCells count="5">
    <mergeCell ref="A1:D3"/>
    <mergeCell ref="A9:D11"/>
    <mergeCell ref="A17:D19"/>
    <mergeCell ref="A25:D27"/>
    <mergeCell ref="F1:N3"/>
  </mergeCells>
  <dataValidations count="2">
    <dataValidation type="list" allowBlank="1" showInputMessage="1" showErrorMessage="1" sqref="F5 A5 A21">
      <formula1>DaTA!A2:A21</formula1>
    </dataValidation>
    <dataValidation type="list" allowBlank="1" showInputMessage="1" showErrorMessage="1" sqref="A13 A29">
      <formula1>DaTA!B2:B21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selection activeCell="D2" sqref="D2"/>
    </sheetView>
  </sheetViews>
  <sheetFormatPr defaultRowHeight="15"/>
  <cols>
    <col min="1" max="1" width="9.28515625" customWidth="1"/>
    <col min="2" max="2" width="16.42578125" customWidth="1"/>
    <col min="3" max="3" width="16.140625" customWidth="1"/>
    <col min="4" max="4" width="23.7109375" customWidth="1"/>
    <col min="5" max="5" width="13.7109375" customWidth="1"/>
    <col min="6" max="6" width="13" customWidth="1"/>
    <col min="7" max="7" width="11.5703125" customWidth="1"/>
    <col min="8" max="8" width="13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3001</v>
      </c>
      <c r="B2" s="2" t="s">
        <v>65</v>
      </c>
      <c r="C2" s="2" t="s">
        <v>66</v>
      </c>
      <c r="D2" s="2" t="s">
        <v>72</v>
      </c>
      <c r="E2" s="2">
        <v>2600</v>
      </c>
      <c r="F2" s="2" t="s">
        <v>11</v>
      </c>
      <c r="G2" s="2" t="s">
        <v>12</v>
      </c>
      <c r="H2" s="2">
        <v>2026</v>
      </c>
      <c r="I2" s="2" t="s">
        <v>13</v>
      </c>
    </row>
    <row r="3" spans="1:9">
      <c r="A3" s="2">
        <v>3002</v>
      </c>
      <c r="B3" s="2" t="s">
        <v>14</v>
      </c>
      <c r="C3" s="2" t="s">
        <v>9</v>
      </c>
      <c r="D3" s="2" t="s">
        <v>10</v>
      </c>
      <c r="E3" s="2">
        <v>2300</v>
      </c>
      <c r="F3" s="2" t="s">
        <v>15</v>
      </c>
      <c r="G3" s="2" t="s">
        <v>16</v>
      </c>
      <c r="H3" s="2">
        <v>2022</v>
      </c>
      <c r="I3" s="2" t="s">
        <v>13</v>
      </c>
    </row>
    <row r="4" spans="1:9">
      <c r="A4" s="2">
        <v>3003</v>
      </c>
      <c r="B4" s="2" t="s">
        <v>17</v>
      </c>
      <c r="C4" s="2" t="s">
        <v>18</v>
      </c>
      <c r="D4" s="2" t="s">
        <v>19</v>
      </c>
      <c r="E4" s="2">
        <v>3000</v>
      </c>
      <c r="F4" s="2" t="s">
        <v>11</v>
      </c>
      <c r="G4" s="2" t="s">
        <v>20</v>
      </c>
      <c r="H4" s="2">
        <v>2021</v>
      </c>
      <c r="I4" s="2" t="s">
        <v>13</v>
      </c>
    </row>
    <row r="5" spans="1:9">
      <c r="A5" s="2">
        <v>3004</v>
      </c>
      <c r="B5" s="2" t="s">
        <v>21</v>
      </c>
      <c r="C5" s="2" t="s">
        <v>22</v>
      </c>
      <c r="D5" s="2" t="s">
        <v>23</v>
      </c>
      <c r="E5" s="2">
        <v>3200</v>
      </c>
      <c r="F5" s="2" t="s">
        <v>24</v>
      </c>
      <c r="G5" s="2" t="s">
        <v>25</v>
      </c>
      <c r="H5" s="2">
        <v>2020</v>
      </c>
      <c r="I5" s="2" t="s">
        <v>13</v>
      </c>
    </row>
    <row r="6" spans="1:9">
      <c r="A6" s="2">
        <v>3005</v>
      </c>
      <c r="B6" s="2" t="s">
        <v>26</v>
      </c>
      <c r="C6" s="2" t="s">
        <v>9</v>
      </c>
      <c r="D6" s="2" t="s">
        <v>10</v>
      </c>
      <c r="E6" s="2">
        <v>2100</v>
      </c>
      <c r="F6" s="2" t="s">
        <v>11</v>
      </c>
      <c r="G6" s="2" t="s">
        <v>27</v>
      </c>
      <c r="H6" s="2">
        <v>2023</v>
      </c>
      <c r="I6" s="2" t="s">
        <v>13</v>
      </c>
    </row>
    <row r="7" spans="1:9">
      <c r="A7" s="2">
        <v>3006</v>
      </c>
      <c r="B7" s="2" t="s">
        <v>28</v>
      </c>
      <c r="C7" s="2" t="s">
        <v>22</v>
      </c>
      <c r="D7" s="2" t="s">
        <v>29</v>
      </c>
      <c r="E7" s="2">
        <v>3400</v>
      </c>
      <c r="F7" s="2" t="s">
        <v>15</v>
      </c>
      <c r="G7" s="2" t="s">
        <v>30</v>
      </c>
      <c r="H7" s="2">
        <v>2022</v>
      </c>
      <c r="I7" s="2" t="s">
        <v>13</v>
      </c>
    </row>
    <row r="8" spans="1:9">
      <c r="A8" s="2">
        <v>3007</v>
      </c>
      <c r="B8" s="2" t="s">
        <v>31</v>
      </c>
      <c r="C8" s="2" t="s">
        <v>18</v>
      </c>
      <c r="D8" s="2" t="s">
        <v>19</v>
      </c>
      <c r="E8" s="2">
        <v>2900</v>
      </c>
      <c r="F8" s="2" t="s">
        <v>11</v>
      </c>
      <c r="G8" s="2" t="s">
        <v>32</v>
      </c>
      <c r="H8" s="2">
        <v>2021</v>
      </c>
      <c r="I8" s="2" t="s">
        <v>13</v>
      </c>
    </row>
    <row r="9" spans="1:9">
      <c r="A9" s="2">
        <v>3008</v>
      </c>
      <c r="B9" s="2" t="s">
        <v>33</v>
      </c>
      <c r="C9" s="2" t="s">
        <v>9</v>
      </c>
      <c r="D9" s="2" t="s">
        <v>10</v>
      </c>
      <c r="E9" s="2">
        <v>2000</v>
      </c>
      <c r="F9" s="2" t="s">
        <v>24</v>
      </c>
      <c r="G9" s="2" t="s">
        <v>34</v>
      </c>
      <c r="H9" s="2">
        <v>2023</v>
      </c>
      <c r="I9" s="2" t="s">
        <v>13</v>
      </c>
    </row>
    <row r="10" spans="1:9">
      <c r="A10" s="2">
        <v>3009</v>
      </c>
      <c r="B10" s="2" t="s">
        <v>35</v>
      </c>
      <c r="C10" s="2" t="s">
        <v>36</v>
      </c>
      <c r="D10" s="2" t="s">
        <v>37</v>
      </c>
      <c r="E10" s="2">
        <v>3300</v>
      </c>
      <c r="F10" s="2" t="s">
        <v>11</v>
      </c>
      <c r="G10" s="2" t="s">
        <v>38</v>
      </c>
      <c r="H10" s="2">
        <v>2020</v>
      </c>
      <c r="I10" s="2" t="s">
        <v>13</v>
      </c>
    </row>
    <row r="11" spans="1:9">
      <c r="A11" s="2">
        <v>3010</v>
      </c>
      <c r="B11" s="2" t="s">
        <v>39</v>
      </c>
      <c r="C11" s="2" t="s">
        <v>9</v>
      </c>
      <c r="D11" s="2" t="s">
        <v>10</v>
      </c>
      <c r="E11" s="2">
        <v>2400</v>
      </c>
      <c r="F11" s="2" t="s">
        <v>15</v>
      </c>
      <c r="G11" s="2" t="s">
        <v>40</v>
      </c>
      <c r="H11" s="2">
        <v>2022</v>
      </c>
      <c r="I11" s="2" t="s">
        <v>13</v>
      </c>
    </row>
    <row r="12" spans="1:9">
      <c r="A12" s="2">
        <v>3011</v>
      </c>
      <c r="B12" s="2" t="s">
        <v>41</v>
      </c>
      <c r="C12" s="2" t="s">
        <v>22</v>
      </c>
      <c r="D12" s="2" t="s">
        <v>42</v>
      </c>
      <c r="E12" s="2">
        <v>3500</v>
      </c>
      <c r="F12" s="2" t="s">
        <v>11</v>
      </c>
      <c r="G12" s="2" t="s">
        <v>43</v>
      </c>
      <c r="H12" s="2">
        <v>2021</v>
      </c>
      <c r="I12" s="2" t="s">
        <v>13</v>
      </c>
    </row>
    <row r="13" spans="1:9">
      <c r="A13" s="2">
        <v>3012</v>
      </c>
      <c r="B13" s="2" t="s">
        <v>44</v>
      </c>
      <c r="C13" s="2" t="s">
        <v>9</v>
      </c>
      <c r="D13" s="2" t="s">
        <v>10</v>
      </c>
      <c r="E13" s="2">
        <v>2100</v>
      </c>
      <c r="F13" s="2" t="s">
        <v>24</v>
      </c>
      <c r="G13" s="2" t="s">
        <v>45</v>
      </c>
      <c r="H13" s="2">
        <v>2023</v>
      </c>
      <c r="I13" s="2" t="s">
        <v>13</v>
      </c>
    </row>
    <row r="14" spans="1:9">
      <c r="A14" s="2">
        <v>3013</v>
      </c>
      <c r="B14" s="2" t="s">
        <v>46</v>
      </c>
      <c r="C14" s="2" t="s">
        <v>18</v>
      </c>
      <c r="D14" s="2" t="s">
        <v>19</v>
      </c>
      <c r="E14" s="2">
        <v>3100</v>
      </c>
      <c r="F14" s="2" t="s">
        <v>11</v>
      </c>
      <c r="G14" s="2" t="s">
        <v>47</v>
      </c>
      <c r="H14" s="2">
        <v>2020</v>
      </c>
      <c r="I14" s="2" t="s">
        <v>13</v>
      </c>
    </row>
    <row r="15" spans="1:9">
      <c r="A15" s="2">
        <v>3014</v>
      </c>
      <c r="B15" s="2" t="s">
        <v>48</v>
      </c>
      <c r="C15" s="2" t="s">
        <v>9</v>
      </c>
      <c r="D15" s="2" t="s">
        <v>10</v>
      </c>
      <c r="E15" s="2">
        <v>2300</v>
      </c>
      <c r="F15" s="2" t="s">
        <v>15</v>
      </c>
      <c r="G15" s="2" t="s">
        <v>49</v>
      </c>
      <c r="H15" s="2">
        <v>2022</v>
      </c>
      <c r="I15" s="2" t="s">
        <v>13</v>
      </c>
    </row>
    <row r="16" spans="1:9">
      <c r="A16" s="2">
        <v>3015</v>
      </c>
      <c r="B16" s="2" t="s">
        <v>50</v>
      </c>
      <c r="C16" s="2" t="s">
        <v>36</v>
      </c>
      <c r="D16" s="2" t="s">
        <v>51</v>
      </c>
      <c r="E16" s="2">
        <v>2800</v>
      </c>
      <c r="F16" s="2" t="s">
        <v>11</v>
      </c>
      <c r="G16" s="2" t="s">
        <v>52</v>
      </c>
      <c r="H16" s="2">
        <v>2021</v>
      </c>
      <c r="I16" s="2" t="s">
        <v>13</v>
      </c>
    </row>
    <row r="17" spans="1:9">
      <c r="A17" s="2">
        <v>3016</v>
      </c>
      <c r="B17" s="2" t="s">
        <v>53</v>
      </c>
      <c r="C17" s="2" t="s">
        <v>22</v>
      </c>
      <c r="D17" s="2" t="s">
        <v>54</v>
      </c>
      <c r="E17" s="2">
        <v>3400</v>
      </c>
      <c r="F17" s="2" t="s">
        <v>24</v>
      </c>
      <c r="G17" s="2" t="s">
        <v>55</v>
      </c>
      <c r="H17" s="2">
        <v>2020</v>
      </c>
      <c r="I17" s="2" t="s">
        <v>13</v>
      </c>
    </row>
    <row r="18" spans="1:9">
      <c r="A18" s="2">
        <v>3017</v>
      </c>
      <c r="B18" s="2" t="s">
        <v>56</v>
      </c>
      <c r="C18" s="2" t="s">
        <v>9</v>
      </c>
      <c r="D18" s="2" t="s">
        <v>10</v>
      </c>
      <c r="E18" s="2">
        <v>2200</v>
      </c>
      <c r="F18" s="2" t="s">
        <v>11</v>
      </c>
      <c r="G18" s="2" t="s">
        <v>57</v>
      </c>
      <c r="H18" s="2">
        <v>2023</v>
      </c>
      <c r="I18" s="2" t="s">
        <v>13</v>
      </c>
    </row>
    <row r="19" spans="1:9">
      <c r="A19" s="2">
        <v>3018</v>
      </c>
      <c r="B19" s="2" t="s">
        <v>58</v>
      </c>
      <c r="C19" s="2" t="s">
        <v>18</v>
      </c>
      <c r="D19" s="2" t="s">
        <v>19</v>
      </c>
      <c r="E19" s="2">
        <v>3000</v>
      </c>
      <c r="F19" s="2" t="s">
        <v>15</v>
      </c>
      <c r="G19" s="2" t="s">
        <v>59</v>
      </c>
      <c r="H19" s="2">
        <v>2021</v>
      </c>
      <c r="I19" s="2" t="s">
        <v>13</v>
      </c>
    </row>
    <row r="20" spans="1:9">
      <c r="A20" s="2">
        <v>3019</v>
      </c>
      <c r="B20" s="2" t="s">
        <v>60</v>
      </c>
      <c r="C20" s="2" t="s">
        <v>9</v>
      </c>
      <c r="D20" s="2" t="s">
        <v>10</v>
      </c>
      <c r="E20" s="2">
        <v>2100</v>
      </c>
      <c r="F20" s="2" t="s">
        <v>11</v>
      </c>
      <c r="G20" s="2" t="s">
        <v>61</v>
      </c>
      <c r="H20" s="2">
        <v>2022</v>
      </c>
      <c r="I20" s="2" t="s">
        <v>13</v>
      </c>
    </row>
    <row r="21" spans="1:9">
      <c r="A21" s="2">
        <v>3020</v>
      </c>
      <c r="B21" s="2" t="s">
        <v>62</v>
      </c>
      <c r="C21" s="2" t="s">
        <v>36</v>
      </c>
      <c r="D21" s="2" t="s">
        <v>63</v>
      </c>
      <c r="E21" s="2">
        <v>3300</v>
      </c>
      <c r="F21" s="2" t="s">
        <v>24</v>
      </c>
      <c r="G21" s="2" t="s">
        <v>64</v>
      </c>
      <c r="H21" s="2">
        <v>2020</v>
      </c>
      <c r="I21" s="2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Find</vt:lpstr>
      <vt:lpstr>DaTA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2026-02-04T07:39:22Z</dcterms:modified>
</cp:coreProperties>
</file>